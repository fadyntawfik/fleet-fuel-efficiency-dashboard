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dyStone-MartMainte\Downloads\"/>
    </mc:Choice>
  </mc:AlternateContent>
  <xr:revisionPtr revIDLastSave="0" documentId="13_ncr:1_{6B6E9360-1833-4E9E-AD53-9C1D0C06EC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LEET FUEL EFFIVIENCY 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1" l="1"/>
  <c r="S9" i="1"/>
  <c r="R9" i="1"/>
  <c r="T8" i="1"/>
  <c r="S8" i="1"/>
  <c r="R8" i="1"/>
  <c r="T7" i="1"/>
  <c r="S7" i="1"/>
  <c r="R7" i="1"/>
  <c r="T6" i="1"/>
  <c r="S6" i="1"/>
  <c r="R6" i="1"/>
  <c r="T5" i="1"/>
  <c r="S5" i="1"/>
  <c r="R5" i="1"/>
  <c r="T4" i="1"/>
  <c r="S4" i="1"/>
  <c r="R4" i="1"/>
  <c r="T3" i="1"/>
  <c r="S3" i="1"/>
  <c r="R3" i="1"/>
</calcChain>
</file>

<file path=xl/sharedStrings.xml><?xml version="1.0" encoding="utf-8"?>
<sst xmlns="http://schemas.openxmlformats.org/spreadsheetml/2006/main" count="53" uniqueCount="36">
  <si>
    <t>Fleet Fuel Efficiency Dashboard</t>
  </si>
  <si>
    <t>Vehicle Number</t>
  </si>
  <si>
    <t>Make</t>
  </si>
  <si>
    <t>Model</t>
  </si>
  <si>
    <t>Year</t>
  </si>
  <si>
    <t>Avg. MPG</t>
  </si>
  <si>
    <t>Moving MPG</t>
  </si>
  <si>
    <t>Total Distance (mi)</t>
  </si>
  <si>
    <t>Total Fuel (gal)</t>
  </si>
  <si>
    <t>Est. Carbon Emissions (lbs)</t>
  </si>
  <si>
    <t>Utilization (%)</t>
  </si>
  <si>
    <t>Driving Time (mins)</t>
  </si>
  <si>
    <t>Driving Fuel (gal)</t>
  </si>
  <si>
    <t>Idling Time (mins)</t>
  </si>
  <si>
    <t>Idled Fuel (gal)</t>
  </si>
  <si>
    <t>Fuel Cost ($)</t>
  </si>
  <si>
    <t>Odometer (mi)</t>
  </si>
  <si>
    <t>Fuel Type</t>
  </si>
  <si>
    <t xml:space="preserve"> MPG</t>
  </si>
  <si>
    <t xml:space="preserve">COST PER MILE </t>
  </si>
  <si>
    <t xml:space="preserve">FUEL PER MILE </t>
  </si>
  <si>
    <t>Truck #13</t>
  </si>
  <si>
    <t>FREIGHTLINER</t>
  </si>
  <si>
    <t>CASCADIA</t>
  </si>
  <si>
    <t>diesel</t>
  </si>
  <si>
    <t>TRUCK 18</t>
  </si>
  <si>
    <t>Truck 16</t>
  </si>
  <si>
    <t>Key Insights</t>
  </si>
  <si>
    <t>Truck #15</t>
  </si>
  <si>
    <t>- Truck 18 has the highest MPG → most efficient</t>
  </si>
  <si>
    <t>TRUCK 17</t>
  </si>
  <si>
    <t>- Truck 7 has the lowest MPG → needs attention</t>
  </si>
  <si>
    <t>TRUCK #7 TAMPA</t>
  </si>
  <si>
    <t>M2</t>
  </si>
  <si>
    <t>- Improving low-performing trucks can reduce fuel costs</t>
  </si>
  <si>
    <t>TRUCK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</si>
</sst>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1803149606299206E-2"/>
          <c:y val="0.1111111111111111"/>
          <c:w val="0.87764129483814524"/>
          <c:h val="0.7310032079323418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'FLEET FUEL EFFIVIENCY DASHBOARD'!$A$2:$A$8</c:f>
              <c:strCache>
                <c:ptCount val="7"/>
                <c:pt idx="0">
                  <c:v>Vehicle Number</c:v>
                </c:pt>
                <c:pt idx="1">
                  <c:v>Truck #13</c:v>
                </c:pt>
                <c:pt idx="2">
                  <c:v>TRUCK 18</c:v>
                </c:pt>
                <c:pt idx="3">
                  <c:v>Truck 16</c:v>
                </c:pt>
                <c:pt idx="4">
                  <c:v>Truck #15</c:v>
                </c:pt>
                <c:pt idx="5">
                  <c:v>TRUCK 17</c:v>
                </c:pt>
                <c:pt idx="6">
                  <c:v>TRUCK #7 TAMPA</c:v>
                </c:pt>
              </c:strCache>
            </c:strRef>
          </c:cat>
          <c:val>
            <c:numRef>
              <c:f>'FLEET FUEL EFFIVIENCY DASHBOARD'!$O$2:$O$8</c:f>
              <c:numCache>
                <c:formatCode>General</c:formatCode>
                <c:ptCount val="7"/>
                <c:pt idx="0">
                  <c:v>0</c:v>
                </c:pt>
                <c:pt idx="1">
                  <c:v>1751.03</c:v>
                </c:pt>
                <c:pt idx="2">
                  <c:v>2335.2800000000002</c:v>
                </c:pt>
                <c:pt idx="3">
                  <c:v>1344.37</c:v>
                </c:pt>
                <c:pt idx="4">
                  <c:v>1305.7</c:v>
                </c:pt>
                <c:pt idx="5">
                  <c:v>1647.81</c:v>
                </c:pt>
                <c:pt idx="6">
                  <c:v>527.21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3-4AED-AC14-45C2DF1FC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691632"/>
        <c:axId val="1825687792"/>
      </c:barChart>
      <c:catAx>
        <c:axId val="182569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687792"/>
        <c:crosses val="autoZero"/>
        <c:auto val="1"/>
        <c:lblAlgn val="ctr"/>
        <c:lblOffset val="100"/>
        <c:noMultiLvlLbl val="0"/>
      </c:catAx>
      <c:valAx>
        <c:axId val="18256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69163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9</xdr:row>
      <xdr:rowOff>95250</xdr:rowOff>
    </xdr:from>
    <xdr:to>
      <xdr:col>11</xdr:col>
      <xdr:colOff>904875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"/>
  <sheetViews>
    <sheetView tabSelected="1" view="pageBreakPreview" zoomScaleNormal="100" zoomScaleSheetLayoutView="100" workbookViewId="0">
      <selection activeCell="F21" sqref="F21"/>
    </sheetView>
  </sheetViews>
  <sheetFormatPr defaultRowHeight="15" x14ac:dyDescent="0.25"/>
  <cols>
    <col min="1" max="5" width="18" bestFit="1" customWidth="1"/>
    <col min="6" max="6" width="52.42578125" bestFit="1" customWidth="1"/>
    <col min="7" max="8" width="18" bestFit="1" customWidth="1"/>
    <col min="9" max="9" width="25.7109375" bestFit="1" customWidth="1"/>
    <col min="10" max="10" width="13.5703125" bestFit="1" customWidth="1"/>
    <col min="11" max="11" width="18.42578125" bestFit="1" customWidth="1"/>
    <col min="12" max="12" width="16" bestFit="1" customWidth="1"/>
    <col min="13" max="13" width="17.28515625" bestFit="1" customWidth="1"/>
    <col min="14" max="14" width="14.28515625" bestFit="1" customWidth="1"/>
    <col min="15" max="15" width="11.85546875" bestFit="1" customWidth="1"/>
    <col min="16" max="16" width="14" bestFit="1" customWidth="1"/>
    <col min="19" max="19" width="14.28515625" bestFit="1" customWidth="1"/>
    <col min="20" max="20" width="13.85546875" bestFit="1" customWidth="1"/>
  </cols>
  <sheetData>
    <row r="1" spans="1:20" s="4" customFormat="1" ht="21" x14ac:dyDescent="0.35">
      <c r="A1" s="13" t="s">
        <v>0</v>
      </c>
      <c r="B1" s="14"/>
      <c r="C1" s="14"/>
      <c r="D1" s="14"/>
      <c r="E1" s="14"/>
      <c r="F1" s="14"/>
      <c r="G1" s="14"/>
      <c r="H1" s="14"/>
    </row>
    <row r="2" spans="1:20" s="8" customFormat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3" t="s">
        <v>20</v>
      </c>
    </row>
    <row r="3" spans="1:20" s="8" customFormat="1" x14ac:dyDescent="0.25">
      <c r="A3" s="5" t="s">
        <v>21</v>
      </c>
      <c r="B3" s="6" t="s">
        <v>22</v>
      </c>
      <c r="C3" s="6" t="s">
        <v>23</v>
      </c>
      <c r="D3" s="6">
        <v>2023</v>
      </c>
      <c r="E3" s="6">
        <v>6.88</v>
      </c>
      <c r="F3" s="6">
        <v>7.04</v>
      </c>
      <c r="G3" s="6">
        <v>2108.9299999999998</v>
      </c>
      <c r="H3" s="6">
        <v>306.33</v>
      </c>
      <c r="I3" s="6">
        <v>6874.87</v>
      </c>
      <c r="J3" s="6">
        <v>81.64</v>
      </c>
      <c r="K3" s="6">
        <v>2421.42</v>
      </c>
      <c r="L3" s="6">
        <v>299.44</v>
      </c>
      <c r="M3" s="6">
        <v>544.51</v>
      </c>
      <c r="N3" s="6">
        <v>6.89</v>
      </c>
      <c r="O3" s="6">
        <v>1751.03</v>
      </c>
      <c r="P3" s="6">
        <v>173980.77</v>
      </c>
      <c r="Q3" s="6" t="s">
        <v>24</v>
      </c>
      <c r="R3" s="6" t="e">
        <f t="shared" ref="R3:R9" si="0">G2/H2</f>
        <v>#VALUE!</v>
      </c>
      <c r="S3" s="6" t="e">
        <f t="shared" ref="S3:S9" si="1">O2/G2</f>
        <v>#VALUE!</v>
      </c>
      <c r="T3" s="7" t="e">
        <f t="shared" ref="T3:T9" si="2">H2/G2</f>
        <v>#VALUE!</v>
      </c>
    </row>
    <row r="4" spans="1:20" s="8" customFormat="1" x14ac:dyDescent="0.25">
      <c r="A4" s="5" t="s">
        <v>25</v>
      </c>
      <c r="B4" s="6" t="s">
        <v>22</v>
      </c>
      <c r="C4" s="6" t="s">
        <v>23</v>
      </c>
      <c r="D4" s="6">
        <v>2022</v>
      </c>
      <c r="E4" s="6">
        <v>6.86</v>
      </c>
      <c r="F4" s="6">
        <v>7.5</v>
      </c>
      <c r="G4" s="6">
        <v>2801.14</v>
      </c>
      <c r="H4" s="6">
        <v>408.54</v>
      </c>
      <c r="I4" s="6">
        <v>9168.75</v>
      </c>
      <c r="J4" s="6">
        <v>45.73</v>
      </c>
      <c r="K4" s="6">
        <v>2854.12</v>
      </c>
      <c r="L4" s="6">
        <v>373.28</v>
      </c>
      <c r="M4" s="6">
        <v>3387.62</v>
      </c>
      <c r="N4" s="6">
        <v>35.25</v>
      </c>
      <c r="O4" s="6">
        <v>2335.2800000000002</v>
      </c>
      <c r="P4" s="6">
        <v>377122.49</v>
      </c>
      <c r="Q4" s="6" t="s">
        <v>24</v>
      </c>
      <c r="R4" s="6">
        <f t="shared" si="0"/>
        <v>6.8845036398655042</v>
      </c>
      <c r="S4" s="6">
        <f t="shared" si="1"/>
        <v>0.83029308701569049</v>
      </c>
      <c r="T4" s="7">
        <f t="shared" si="2"/>
        <v>0.14525375427349416</v>
      </c>
    </row>
    <row r="5" spans="1:20" s="8" customFormat="1" x14ac:dyDescent="0.25">
      <c r="A5" s="5" t="s">
        <v>26</v>
      </c>
      <c r="B5" s="6" t="s">
        <v>22</v>
      </c>
      <c r="C5" s="6" t="s">
        <v>23</v>
      </c>
      <c r="D5" s="6">
        <v>2025</v>
      </c>
      <c r="E5" s="6">
        <v>6.8</v>
      </c>
      <c r="F5" s="12" t="s">
        <v>27</v>
      </c>
      <c r="G5" s="6">
        <v>1600.03</v>
      </c>
      <c r="H5" s="6">
        <v>235.19</v>
      </c>
      <c r="I5" s="6">
        <v>5278.24</v>
      </c>
      <c r="J5" s="6">
        <v>86.1</v>
      </c>
      <c r="K5" s="6">
        <v>2184.81</v>
      </c>
      <c r="L5" s="6">
        <v>228.62</v>
      </c>
      <c r="M5" s="6">
        <v>352.79</v>
      </c>
      <c r="N5" s="6">
        <v>6.56</v>
      </c>
      <c r="O5" s="6">
        <v>1344.37</v>
      </c>
      <c r="P5" s="6">
        <v>122365.35</v>
      </c>
      <c r="Q5" s="6" t="s">
        <v>24</v>
      </c>
      <c r="R5" s="6">
        <f t="shared" si="0"/>
        <v>6.8564644832819299</v>
      </c>
      <c r="S5" s="6">
        <f t="shared" si="1"/>
        <v>0.83368914084979695</v>
      </c>
      <c r="T5" s="7">
        <f t="shared" si="2"/>
        <v>0.14584776198262137</v>
      </c>
    </row>
    <row r="6" spans="1:20" s="8" customFormat="1" x14ac:dyDescent="0.25">
      <c r="A6" s="5" t="s">
        <v>28</v>
      </c>
      <c r="B6" s="6" t="s">
        <v>22</v>
      </c>
      <c r="C6" s="6" t="s">
        <v>23</v>
      </c>
      <c r="D6" s="6">
        <v>2025</v>
      </c>
      <c r="E6" s="6">
        <v>6.63</v>
      </c>
      <c r="F6" s="6" t="s">
        <v>29</v>
      </c>
      <c r="G6" s="6">
        <v>1515.52</v>
      </c>
      <c r="H6" s="6">
        <v>228.42</v>
      </c>
      <c r="I6" s="6">
        <v>5126.4399999999996</v>
      </c>
      <c r="J6" s="6">
        <v>87.07</v>
      </c>
      <c r="K6" s="6">
        <v>1921.64</v>
      </c>
      <c r="L6" s="6">
        <v>222.7</v>
      </c>
      <c r="M6" s="6">
        <v>285.25</v>
      </c>
      <c r="N6" s="6">
        <v>5.72</v>
      </c>
      <c r="O6" s="6">
        <v>1305.7</v>
      </c>
      <c r="P6" s="6">
        <v>157093.15</v>
      </c>
      <c r="Q6" s="6" t="s">
        <v>24</v>
      </c>
      <c r="R6" s="6">
        <f t="shared" si="0"/>
        <v>6.8031378885156677</v>
      </c>
      <c r="S6" s="6">
        <f t="shared" si="1"/>
        <v>0.84021549595945066</v>
      </c>
      <c r="T6" s="7">
        <f t="shared" si="2"/>
        <v>0.14699099391886403</v>
      </c>
    </row>
    <row r="7" spans="1:20" s="8" customFormat="1" x14ac:dyDescent="0.25">
      <c r="A7" s="5" t="s">
        <v>30</v>
      </c>
      <c r="B7" s="6" t="s">
        <v>22</v>
      </c>
      <c r="C7" s="6" t="s">
        <v>23</v>
      </c>
      <c r="D7" s="6">
        <v>2026</v>
      </c>
      <c r="E7" s="6">
        <v>6.56</v>
      </c>
      <c r="F7" s="6" t="s">
        <v>31</v>
      </c>
      <c r="G7" s="6">
        <v>1891.45</v>
      </c>
      <c r="H7" s="6">
        <v>288.27</v>
      </c>
      <c r="I7" s="6">
        <v>6469.6</v>
      </c>
      <c r="J7" s="6">
        <v>74.040000000000006</v>
      </c>
      <c r="K7" s="6">
        <v>2385.59</v>
      </c>
      <c r="L7" s="6">
        <v>274.73</v>
      </c>
      <c r="M7" s="6">
        <v>836.28</v>
      </c>
      <c r="N7" s="6">
        <v>13.54</v>
      </c>
      <c r="O7" s="6">
        <v>1647.81</v>
      </c>
      <c r="P7" s="6">
        <v>52911.6</v>
      </c>
      <c r="Q7" s="6" t="s">
        <v>24</v>
      </c>
      <c r="R7" s="6">
        <f t="shared" si="0"/>
        <v>6.6347955520532356</v>
      </c>
      <c r="S7" s="6">
        <f t="shared" si="1"/>
        <v>0.86155247043918926</v>
      </c>
      <c r="T7" s="7">
        <f t="shared" si="2"/>
        <v>0.15072054476351351</v>
      </c>
    </row>
    <row r="8" spans="1:20" s="8" customFormat="1" ht="15.75" customHeight="1" thickBot="1" x14ac:dyDescent="0.3">
      <c r="A8" s="5" t="s">
        <v>32</v>
      </c>
      <c r="B8" s="6" t="s">
        <v>22</v>
      </c>
      <c r="C8" s="6" t="s">
        <v>33</v>
      </c>
      <c r="D8" s="6">
        <v>2018</v>
      </c>
      <c r="E8" s="6">
        <v>6.45</v>
      </c>
      <c r="F8" s="6" t="s">
        <v>34</v>
      </c>
      <c r="G8" s="6">
        <v>594.65</v>
      </c>
      <c r="H8" s="6">
        <v>92.23</v>
      </c>
      <c r="I8" s="6">
        <v>2069.91</v>
      </c>
      <c r="J8" s="6">
        <v>51.29</v>
      </c>
      <c r="K8" s="6">
        <v>1057.99</v>
      </c>
      <c r="L8" s="6">
        <v>77.69</v>
      </c>
      <c r="M8" s="6">
        <v>1004.66</v>
      </c>
      <c r="N8" s="6">
        <v>14.54</v>
      </c>
      <c r="O8" s="6">
        <v>527.21</v>
      </c>
      <c r="P8" s="6">
        <v>360309.43</v>
      </c>
      <c r="Q8" s="6" t="s">
        <v>24</v>
      </c>
      <c r="R8" s="6">
        <f t="shared" si="0"/>
        <v>6.5613834252610408</v>
      </c>
      <c r="S8" s="6">
        <f t="shared" si="1"/>
        <v>0.87118877051997146</v>
      </c>
      <c r="T8" s="7">
        <f t="shared" si="2"/>
        <v>0.1524068836078141</v>
      </c>
    </row>
    <row r="9" spans="1:20" x14ac:dyDescent="0.25">
      <c r="A9" s="9" t="s">
        <v>35</v>
      </c>
      <c r="B9" s="10" t="s">
        <v>22</v>
      </c>
      <c r="C9" s="10" t="s">
        <v>23</v>
      </c>
      <c r="D9" s="10">
        <v>2022</v>
      </c>
      <c r="E9" s="10">
        <v>6.22</v>
      </c>
      <c r="F9" s="10">
        <v>6.32</v>
      </c>
      <c r="G9" s="10">
        <v>1913.82</v>
      </c>
      <c r="H9" s="10">
        <v>307.87</v>
      </c>
      <c r="I9" s="10">
        <v>6909.45</v>
      </c>
      <c r="J9" s="10">
        <v>81.040000000000006</v>
      </c>
      <c r="K9" s="10">
        <v>2074.85</v>
      </c>
      <c r="L9" s="10">
        <v>302.64999999999998</v>
      </c>
      <c r="M9" s="10">
        <v>485.37</v>
      </c>
      <c r="N9" s="10">
        <v>5.22</v>
      </c>
      <c r="O9" s="10">
        <v>1759.84</v>
      </c>
      <c r="P9" s="10">
        <v>316826.51</v>
      </c>
      <c r="Q9" s="10" t="s">
        <v>24</v>
      </c>
      <c r="R9" s="10">
        <f t="shared" si="0"/>
        <v>6.4474682858072203</v>
      </c>
      <c r="S9" s="10">
        <f t="shared" si="1"/>
        <v>0.88658874968468859</v>
      </c>
      <c r="T9" s="11">
        <f t="shared" si="2"/>
        <v>0.15509963844278149</v>
      </c>
    </row>
  </sheetData>
  <mergeCells count="1">
    <mergeCell ref="A1:H1"/>
  </mergeCells>
  <pageMargins left="0.7" right="0.7" top="0.75" bottom="0.75" header="0.3" footer="0.3"/>
  <pageSetup scale="3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 FUEL EFFIVIENCY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Fady Stone-Mart Maintenance/Support Coordinator</dc:creator>
  <cp:lastModifiedBy>Fady Stone-Mart Maintenance/Support Coordinator</cp:lastModifiedBy>
  <cp:lastPrinted>2026-04-23T20:24:06Z</cp:lastPrinted>
  <dcterms:created xsi:type="dcterms:W3CDTF">2026-04-20T13:56:13Z</dcterms:created>
  <dcterms:modified xsi:type="dcterms:W3CDTF">2026-04-23T20:28:09Z</dcterms:modified>
</cp:coreProperties>
</file>